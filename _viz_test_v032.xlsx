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각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color rgb="0064748B"/>
      <sz val="10"/>
    </font>
    <font>
      <b val="1"/>
      <color rgb="00FFFFFF"/>
      <sz val="12"/>
    </font>
    <font>
      <b val="1"/>
      <color rgb="00111827"/>
      <sz val="13"/>
    </font>
    <font>
      <b val="1"/>
      <color rgb="00FFFFFF"/>
    </font>
    <font>
      <b val="1"/>
      <color rgb="001F2937"/>
      <sz val="12"/>
    </font>
    <font>
      <b val="1"/>
      <color rgb="00374151"/>
    </font>
  </fonts>
  <fills count="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F766E"/>
      </patternFill>
    </fill>
    <fill>
      <patternFill patternType="solid">
        <fgColor rgb="00B91C1C"/>
      </patternFill>
    </fill>
    <fill>
      <patternFill patternType="solid">
        <fgColor rgb="00C2410C"/>
      </patternFill>
    </fill>
    <fill>
      <patternFill patternType="solid">
        <fgColor rgb="001D4ED8"/>
      </patternFill>
    </fill>
    <fill>
      <patternFill patternType="solid">
        <fgColor rgb="001F2937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7" borderId="0" pivotButton="0" quotePrefix="0" xfId="0"/>
    <xf numFmtId="0" fontId="6" fillId="0" borderId="0" pivotButton="0" quotePrefix="0" xfId="0"/>
    <xf numFmtId="0" fontId="7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 분포 추세</a:t>
            </a:r>
          </a:p>
        </rich>
      </tx>
    </title>
    <plotArea>
      <lineChart>
        <grouping val="standard"/>
        <ser>
          <idx val="0"/>
          <order val="0"/>
          <tx>
            <strRef>
              <f>'시각화'!V2</f>
            </strRef>
          </tx>
          <spPr>
            <a:ln xmlns:a="http://schemas.openxmlformats.org/drawingml/2006/main" w="26000">
              <a:solidFill>
                <a:srgbClr val="DC2626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'시각화'!$U$3:$U$6</f>
            </numRef>
          </cat>
          <val>
            <numRef>
              <f>'시각화'!$V$3:$V$6</f>
            </numRef>
          </val>
        </ser>
        <ser>
          <idx val="1"/>
          <order val="1"/>
          <tx>
            <strRef>
              <f>'시각화'!W2</f>
            </strRef>
          </tx>
          <spPr>
            <a:ln xmlns:a="http://schemas.openxmlformats.org/drawingml/2006/main" w="16000">
              <a:solidFill>
                <a:srgbClr val="94A3B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'시각화'!$U$3:$U$6</f>
            </numRef>
          </cat>
          <val>
            <numRef>
              <f>'시각화'!$W$3:$W$6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정렬 순서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Black Uniformity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WU 분포 추세</a:t>
            </a:r>
          </a:p>
        </rich>
      </tx>
    </title>
    <plotArea>
      <lineChart>
        <grouping val="standard"/>
        <ser>
          <idx val="0"/>
          <order val="0"/>
          <tx>
            <strRef>
              <f>'시각화'!Y2</f>
            </strRef>
          </tx>
          <spPr>
            <a:ln xmlns:a="http://schemas.openxmlformats.org/drawingml/2006/main" w="26000">
              <a:solidFill>
                <a:srgbClr val="16A34A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'시각화'!$X$3:$X$6</f>
            </numRef>
          </cat>
          <val>
            <numRef>
              <f>'시각화'!$Y$3:$Y$6</f>
            </numRef>
          </val>
        </ser>
        <ser>
          <idx val="1"/>
          <order val="1"/>
          <tx>
            <strRef>
              <f>'시각화'!Z2</f>
            </strRef>
          </tx>
          <spPr>
            <a:ln xmlns:a="http://schemas.openxmlformats.org/drawingml/2006/main" w="16000">
              <a:solidFill>
                <a:srgbClr val="94A3B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'시각화'!$X$3:$X$6</f>
            </numRef>
          </cat>
          <val>
            <numRef>
              <f>'시각화'!$Z$3:$Z$6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정렬 순서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White Uniformity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 Pass/Fail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'시각화'!$AC$2:$AD$2</f>
            </numRef>
          </cat>
          <val>
            <numRef>
              <f>'시각화'!$AC$3:$AD$3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WU Pass/Fail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'시각화'!$AC$2:$AD$2</f>
            </numRef>
          </cat>
          <val>
            <numRef>
              <f>'시각화'!$AC$4:$AD$4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 분포 구간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'시각화'!AG2</f>
            </strRef>
          </tx>
          <spPr>
            <a:solidFill xmlns:a="http://schemas.openxmlformats.org/drawingml/2006/main">
              <a:srgbClr val="DC2626"/>
            </a:solidFill>
            <a:ln xmlns:a="http://schemas.openxmlformats.org/drawingml/2006/main">
              <a:solidFill>
                <a:srgbClr val="DC2626"/>
              </a:solidFill>
              <a:prstDash val="solid"/>
            </a:ln>
          </spPr>
          <cat>
            <numRef>
              <f>'시각화'!$AF$3:$AF$8</f>
            </numRef>
          </cat>
          <val>
            <numRef>
              <f>'시각화'!$AG$3:$AG$8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WU 분포 구간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'시각화'!AJ2</f>
            </strRef>
          </tx>
          <spPr>
            <a:solidFill xmlns:a="http://schemas.openxmlformats.org/drawingml/2006/main">
              <a:srgbClr val="16A34A"/>
            </a:solidFill>
            <a:ln xmlns:a="http://schemas.openxmlformats.org/drawingml/2006/main">
              <a:solidFill>
                <a:srgbClr val="16A34A"/>
              </a:solidFill>
              <a:prstDash val="solid"/>
            </a:ln>
          </spPr>
          <cat>
            <numRef>
              <f>'시각화'!$AI$3:$AI$8</f>
            </numRef>
          </cat>
          <val>
            <numRef>
              <f>'시각화'!$AJ$3:$AJ$8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11999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3311999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39</row>
      <rowOff>0</rowOff>
    </from>
    <ext cx="2736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39</row>
      <rowOff>0</rowOff>
    </from>
    <ext cx="2736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26</row>
      <rowOff>0</rowOff>
    </from>
    <ext cx="3311999" cy="244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26</row>
      <rowOff>0</rowOff>
    </from>
    <ext cx="3311999" cy="244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8" customWidth="1" min="18" max="18"/>
    <col hidden="1" width="13" customWidth="1" min="20" max="20"/>
    <col hidden="1" width="13" customWidth="1" min="21" max="21"/>
    <col hidden="1" width="13" customWidth="1" min="22" max="22"/>
    <col hidden="1" width="13" customWidth="1" min="24" max="24"/>
    <col hidden="1" width="13" customWidth="1" min="25" max="25"/>
    <col hidden="1" width="13" customWidth="1" min="26" max="26"/>
    <col hidden="1" width="13" customWidth="1" min="28" max="28"/>
    <col hidden="1" width="13" customWidth="1" min="29" max="29"/>
    <col hidden="1" width="13" customWidth="1" min="30" max="30"/>
    <col hidden="1" width="13" customWidth="1" min="32" max="32"/>
    <col hidden="1" width="13" customWidth="1" min="33" max="33"/>
    <col hidden="1" width="13" customWidth="1" min="35" max="35"/>
    <col hidden="1" width="13" customWidth="1" min="36" max="36"/>
  </cols>
  <sheetData>
    <row r="1">
      <c r="A1" s="1" t="inlineStr">
        <is>
          <t>BU / WU Quality Dashboard</t>
        </is>
      </c>
    </row>
    <row r="2">
      <c r="T2" t="inlineStr">
        <is>
          <t>BU_index</t>
        </is>
      </c>
      <c r="U2" t="inlineStr">
        <is>
          <t>BU_value</t>
        </is>
      </c>
      <c r="V2" t="inlineStr">
        <is>
          <t>BU_spec</t>
        </is>
      </c>
      <c r="X2" t="inlineStr">
        <is>
          <t>WU_index</t>
        </is>
      </c>
      <c r="Y2" t="inlineStr">
        <is>
          <t>WU_value</t>
        </is>
      </c>
      <c r="Z2" t="inlineStr">
        <is>
          <t>WU_spec</t>
        </is>
      </c>
      <c r="AB2" t="inlineStr">
        <is>
          <t>Metric</t>
        </is>
      </c>
      <c r="AC2" t="inlineStr">
        <is>
          <t>Pass</t>
        </is>
      </c>
      <c r="AD2" t="inlineStr">
        <is>
          <t>Fail</t>
        </is>
      </c>
      <c r="AF2" t="inlineStr">
        <is>
          <t>BU_bucket</t>
        </is>
      </c>
      <c r="AG2" t="inlineStr">
        <is>
          <t>BU_count</t>
        </is>
      </c>
      <c r="AI2" t="inlineStr">
        <is>
          <t>WU_bucket</t>
        </is>
      </c>
      <c r="AJ2" t="inlineStr">
        <is>
          <t>WU_count</t>
        </is>
      </c>
    </row>
    <row r="3">
      <c r="A3" s="2" t="inlineStr">
        <is>
          <t>BU와 WU를 같은 행에 배치해 분포 추세, 분포 구간, Pass/Fail을 한눈에 비교</t>
        </is>
      </c>
      <c r="Q3" s="3" t="inlineStr">
        <is>
          <t>Updated: 2026-03-23 17:16:22</t>
        </is>
      </c>
      <c r="U3" t="n">
        <v>1</v>
      </c>
      <c r="V3" t="n">
        <v>47.6</v>
      </c>
      <c r="W3" t="n">
        <v>50</v>
      </c>
      <c r="X3" t="n">
        <v>1</v>
      </c>
      <c r="Y3" t="n">
        <v>77.8</v>
      </c>
      <c r="Z3" t="n">
        <v>80</v>
      </c>
      <c r="AB3" t="inlineStr">
        <is>
          <t>BU</t>
        </is>
      </c>
      <c r="AC3" t="n">
        <v>2</v>
      </c>
      <c r="AD3" t="n">
        <v>2</v>
      </c>
      <c r="AF3" t="inlineStr">
        <is>
          <t>&lt;40</t>
        </is>
      </c>
      <c r="AG3" t="n">
        <v>0</v>
      </c>
      <c r="AI3" t="inlineStr">
        <is>
          <t>&lt;70</t>
        </is>
      </c>
      <c r="AJ3" t="n">
        <v>0</v>
      </c>
    </row>
    <row r="4">
      <c r="U4" t="n">
        <v>2</v>
      </c>
      <c r="V4" t="n">
        <v>49.1</v>
      </c>
      <c r="W4" t="n">
        <v>50</v>
      </c>
      <c r="X4" t="n">
        <v>2</v>
      </c>
      <c r="Y4" t="n">
        <v>79.5</v>
      </c>
      <c r="Z4" t="n">
        <v>80</v>
      </c>
      <c r="AB4" t="inlineStr">
        <is>
          <t>WU</t>
        </is>
      </c>
      <c r="AC4" t="n">
        <v>2</v>
      </c>
      <c r="AD4" t="n">
        <v>2</v>
      </c>
      <c r="AF4" t="inlineStr">
        <is>
          <t>40-45</t>
        </is>
      </c>
      <c r="AG4" t="n">
        <v>0</v>
      </c>
      <c r="AI4" t="inlineStr">
        <is>
          <t>70-75</t>
        </is>
      </c>
      <c r="AJ4" t="n">
        <v>0</v>
      </c>
    </row>
    <row r="5">
      <c r="A5" s="4" t="inlineStr">
        <is>
          <t>전체 LotID
4
최신 측정 기준</t>
        </is>
      </c>
      <c r="D5" s="5" t="inlineStr">
        <is>
          <t>BU Fail
2
Spec 50.0</t>
        </is>
      </c>
      <c r="G5" s="6" t="inlineStr">
        <is>
          <t>WU Fail
2
Spec 80.0</t>
        </is>
      </c>
      <c r="J5" s="7" t="inlineStr">
        <is>
          <t>Pass Rate
50.0%
BU+WU combined</t>
        </is>
      </c>
      <c r="U5" t="n">
        <v>3</v>
      </c>
      <c r="V5" t="n">
        <v>51.2</v>
      </c>
      <c r="W5" t="n">
        <v>50</v>
      </c>
      <c r="X5" t="n">
        <v>3</v>
      </c>
      <c r="Y5" t="n">
        <v>81.09999999999999</v>
      </c>
      <c r="Z5" t="n">
        <v>80</v>
      </c>
      <c r="AF5" t="inlineStr">
        <is>
          <t>45-50</t>
        </is>
      </c>
      <c r="AG5" t="n">
        <v>2</v>
      </c>
      <c r="AI5" t="inlineStr">
        <is>
          <t>75-80</t>
        </is>
      </c>
      <c r="AJ5" t="n">
        <v>2</v>
      </c>
    </row>
    <row r="6">
      <c r="U6" t="n">
        <v>4</v>
      </c>
      <c r="V6" t="n">
        <v>55.7</v>
      </c>
      <c r="W6" t="n">
        <v>50</v>
      </c>
      <c r="X6" t="n">
        <v>4</v>
      </c>
      <c r="Y6" t="n">
        <v>84.2</v>
      </c>
      <c r="Z6" t="n">
        <v>80</v>
      </c>
      <c r="AF6" t="inlineStr">
        <is>
          <t>50-55</t>
        </is>
      </c>
      <c r="AG6" t="n">
        <v>1</v>
      </c>
      <c r="AI6" t="inlineStr">
        <is>
          <t>80-85</t>
        </is>
      </c>
      <c r="AJ6" t="n">
        <v>2</v>
      </c>
    </row>
    <row r="7">
      <c r="AF7" t="inlineStr">
        <is>
          <t>55-60</t>
        </is>
      </c>
      <c r="AG7" t="n">
        <v>1</v>
      </c>
      <c r="AI7" t="inlineStr">
        <is>
          <t>85-90</t>
        </is>
      </c>
      <c r="AJ7" t="n">
        <v>0</v>
      </c>
    </row>
    <row r="8">
      <c r="AF8" t="inlineStr">
        <is>
          <t>60+</t>
        </is>
      </c>
      <c r="AG8" t="n">
        <v>0</v>
      </c>
      <c r="AI8" t="inlineStr">
        <is>
          <t>90+</t>
        </is>
      </c>
      <c r="AJ8" t="n">
        <v>0</v>
      </c>
    </row>
    <row r="9">
      <c r="A9" s="8" t="inlineStr">
        <is>
          <t>Metric Summary</t>
        </is>
      </c>
    </row>
    <row r="10">
      <c r="A10" s="9" t="inlineStr">
        <is>
          <t>지표</t>
        </is>
      </c>
      <c r="B10" s="9" t="inlineStr">
        <is>
          <t>Spec Min</t>
        </is>
      </c>
      <c r="C10" s="9" t="inlineStr">
        <is>
          <t>Count</t>
        </is>
      </c>
      <c r="D10" s="9" t="inlineStr">
        <is>
          <t>Pass</t>
        </is>
      </c>
      <c r="E10" s="9" t="inlineStr">
        <is>
          <t>Fail</t>
        </is>
      </c>
      <c r="F10" s="9" t="inlineStr">
        <is>
          <t>Min</t>
        </is>
      </c>
      <c r="G10" s="9" t="inlineStr">
        <is>
          <t>Avg</t>
        </is>
      </c>
      <c r="H10" s="9" t="inlineStr">
        <is>
          <t>Median</t>
        </is>
      </c>
      <c r="I10" s="9" t="inlineStr">
        <is>
          <t>Max</t>
        </is>
      </c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r="11">
      <c r="A11" t="inlineStr">
        <is>
          <t>Black Uniformity</t>
        </is>
      </c>
      <c r="B11" t="n">
        <v>50</v>
      </c>
      <c r="C11" t="n">
        <v>4</v>
      </c>
      <c r="D11" t="n">
        <v>2</v>
      </c>
      <c r="E11" t="n">
        <v>2</v>
      </c>
      <c r="F11" t="n">
        <v>47.6</v>
      </c>
      <c r="G11" t="n">
        <v>50.90000000000001</v>
      </c>
      <c r="H11" t="n">
        <v>50.15000000000001</v>
      </c>
      <c r="I11" t="n">
        <v>55.7</v>
      </c>
    </row>
    <row r="12">
      <c r="A12" t="inlineStr">
        <is>
          <t>White Uniformity</t>
        </is>
      </c>
      <c r="B12" t="n">
        <v>80</v>
      </c>
      <c r="C12" t="n">
        <v>4</v>
      </c>
      <c r="D12" t="n">
        <v>2</v>
      </c>
      <c r="E12" t="n">
        <v>2</v>
      </c>
      <c r="F12" t="n">
        <v>77.8</v>
      </c>
      <c r="G12" t="n">
        <v>80.65000000000001</v>
      </c>
      <c r="H12" t="n">
        <v>80.3</v>
      </c>
      <c r="I12" t="n">
        <v>84.2</v>
      </c>
    </row>
    <row r="14">
      <c r="A14" s="10" t="inlineStr">
        <is>
          <t>분포 추세</t>
        </is>
      </c>
    </row>
    <row r="26">
      <c r="A26" s="10" t="inlineStr">
        <is>
          <t>분포 구간</t>
        </is>
      </c>
    </row>
    <row r="39">
      <c r="A39" s="10" t="inlineStr">
        <is>
          <t>Pass / Fail</t>
        </is>
      </c>
    </row>
    <row r="48">
      <c r="A48" s="10" t="inlineStr">
        <is>
          <t>Worst BU LotID</t>
        </is>
      </c>
      <c r="E48" s="10" t="inlineStr">
        <is>
          <t>Worst WU LotID</t>
        </is>
      </c>
    </row>
    <row r="49">
      <c r="A49" s="11" t="inlineStr">
        <is>
          <t>LOT4</t>
        </is>
      </c>
      <c r="B49" t="n">
        <v>47.6</v>
      </c>
      <c r="E49" s="11" t="inlineStr">
        <is>
          <t>LOT4</t>
        </is>
      </c>
      <c r="F49" t="n">
        <v>77.8</v>
      </c>
    </row>
    <row r="50">
      <c r="A50" s="11" t="inlineStr">
        <is>
          <t>LOT2</t>
        </is>
      </c>
      <c r="B50" t="n">
        <v>49.1</v>
      </c>
      <c r="E50" s="11" t="inlineStr">
        <is>
          <t>LOT2</t>
        </is>
      </c>
      <c r="F50" t="n">
        <v>79.5</v>
      </c>
    </row>
    <row r="51">
      <c r="A51" s="11" t="inlineStr">
        <is>
          <t>LOT1</t>
        </is>
      </c>
      <c r="B51" t="n">
        <v>51.2</v>
      </c>
      <c r="E51" s="11" t="inlineStr">
        <is>
          <t>LOT1</t>
        </is>
      </c>
      <c r="F51" t="n">
        <v>81.09999999999999</v>
      </c>
    </row>
    <row r="52">
      <c r="A52" s="11" t="inlineStr">
        <is>
          <t>LOT3</t>
        </is>
      </c>
      <c r="B52" t="n">
        <v>55.7</v>
      </c>
      <c r="E52" s="11" t="inlineStr">
        <is>
          <t>LOT3</t>
        </is>
      </c>
      <c r="F52" t="n">
        <v>84.2</v>
      </c>
    </row>
  </sheetData>
  <mergeCells count="5">
    <mergeCell ref="G5:I7"/>
    <mergeCell ref="J5:L7"/>
    <mergeCell ref="D5:F7"/>
    <mergeCell ref="A1:R2"/>
    <mergeCell ref="A5:C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2026-03-23T08:16:22Z</dcterms:created>
  <dcterms:modified xmlns:dcterms="http://purl.org/dc/terms/" xmlns:xsi="http://www.w3.org/2001/XMLSchema-instance" xsi:type="dcterms:W3CDTF">2026-03-23T08:16:22Z</dcterms:modified>
</cp:coreProperties>
</file>