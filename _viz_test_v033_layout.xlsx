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각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F2937"/>
      <sz val="17"/>
    </font>
    <font>
      <b val="1"/>
      <color rgb="0064748B"/>
      <sz val="10"/>
    </font>
    <font>
      <color rgb="0094A3B8"/>
      <sz val="11"/>
    </font>
    <font>
      <color rgb="0064748B"/>
      <sz val="9"/>
    </font>
    <font>
      <b val="1"/>
      <color rgb="00FFFFFF"/>
      <sz val="12"/>
    </font>
    <font>
      <b val="1"/>
      <color rgb="00334155"/>
      <sz val="11"/>
    </font>
    <font>
      <b val="1"/>
      <color rgb="00334155"/>
      <sz val="14"/>
    </font>
    <font>
      <b val="1"/>
      <color rgb="0064748B"/>
      <sz val="8"/>
    </font>
    <font>
      <b val="1"/>
      <color rgb="0064748B"/>
      <sz val="9"/>
    </font>
    <font>
      <b val="1"/>
      <color rgb="00334155"/>
      <sz val="12"/>
    </font>
    <font>
      <color rgb="00334155"/>
      <sz val="11"/>
    </font>
    <font>
      <b val="1"/>
      <color rgb="00475569"/>
      <sz val="10"/>
    </font>
    <font>
      <b val="1"/>
      <color rgb="00DC2626"/>
      <sz val="10"/>
    </font>
    <font>
      <b val="1"/>
      <color rgb="00475569"/>
      <sz val="8"/>
    </font>
    <font>
      <b val="1"/>
      <color rgb="00475569"/>
      <sz val="9"/>
    </font>
    <font>
      <b val="1"/>
      <color rgb="00475569"/>
      <sz val="11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64748B"/>
      </patternFill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EEF4FB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2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8" borderId="0" pivotButton="0" quotePrefix="0" xfId="0"/>
    <xf numFmtId="0" fontId="7" fillId="9" borderId="0" pivotButton="0" quotePrefix="0" xfId="0"/>
    <xf numFmtId="0" fontId="10" fillId="9" borderId="0" applyAlignment="1" pivotButton="0" quotePrefix="0" xfId="0">
      <alignment horizontal="right"/>
    </xf>
    <xf numFmtId="0" fontId="8" fillId="10" borderId="0" pivotButton="0" quotePrefix="0" xfId="0"/>
    <xf numFmtId="0" fontId="6" fillId="2" borderId="0" pivotButton="0" quotePrefix="0" xfId="0"/>
    <xf numFmtId="0" fontId="9" fillId="10" borderId="0" applyAlignment="1" pivotButton="0" quotePrefix="0" xfId="0">
      <alignment horizontal="center" vertical="center" wrapText="1"/>
    </xf>
    <xf numFmtId="0" fontId="12" fillId="2" borderId="0" pivotButton="0" quotePrefix="0" xfId="0"/>
    <xf numFmtId="0" fontId="13" fillId="2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0" fillId="9" borderId="0" pivotButton="0" quotePrefix="0" xfId="0"/>
    <xf numFmtId="0" fontId="14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6" fillId="9" borderId="0" pivotButton="0" quotePrefix="0" xfId="0"/>
    <xf numFmtId="0" fontId="9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Trend</a:t>
            </a:r>
          </a:p>
        </rich>
      </tx>
    </title>
    <plotArea>
      <lineChart>
        <grouping val="standard"/>
        <ser>
          <idx val="0"/>
          <order val="0"/>
          <tx>
            <strRef>
              <f>'시각화'!BJ2</f>
            </strRef>
          </tx>
          <spPr>
            <a:ln xmlns:a="http://schemas.openxmlformats.org/drawingml/2006/main" w="22000">
              <a:solidFill>
                <a:srgbClr val="64748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'시각화'!$BI$3:$BI$8</f>
            </numRef>
          </cat>
          <val>
            <numRef>
              <f>'시각화'!$BJ$3:$BJ$8</f>
            </numRef>
          </val>
        </ser>
        <ser>
          <idx val="1"/>
          <order val="1"/>
          <tx>
            <strRef>
              <f>'시각화'!BK2</f>
            </strRef>
          </tx>
          <spPr>
            <a:ln xmlns:a="http://schemas.openxmlformats.org/drawingml/2006/main" w="12000">
              <a:solidFill>
                <a:srgbClr val="DC262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'시각화'!$BI$3:$BI$8</f>
            </numRef>
          </cat>
          <val>
            <numRef>
              <f>'시각화'!$BK$3:$BK$8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POINTS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Trend</a:t>
            </a:r>
          </a:p>
        </rich>
      </tx>
    </title>
    <plotArea>
      <lineChart>
        <grouping val="standard"/>
        <ser>
          <idx val="0"/>
          <order val="0"/>
          <tx>
            <strRef>
              <f>'시각화'!BN2</f>
            </strRef>
          </tx>
          <spPr>
            <a:ln xmlns:a="http://schemas.openxmlformats.org/drawingml/2006/main" w="22000">
              <a:solidFill>
                <a:srgbClr val="64748B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'시각화'!$BM$3:$BM$8</f>
            </numRef>
          </cat>
          <val>
            <numRef>
              <f>'시각화'!$BN$3:$BN$8</f>
            </numRef>
          </val>
        </ser>
        <ser>
          <idx val="1"/>
          <order val="1"/>
          <tx>
            <strRef>
              <f>'시각화'!BO2</f>
            </strRef>
          </tx>
          <spPr>
            <a:ln xmlns:a="http://schemas.openxmlformats.org/drawingml/2006/main" w="12000">
              <a:solidFill>
                <a:srgbClr val="DC262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'시각화'!$BM$3:$BM$8</f>
            </numRef>
          </cat>
          <val>
            <numRef>
              <f>'시각화'!$BO$3:$BO$8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POINTS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Distribution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'시각화'!BR2</f>
            </strRef>
          </tx>
          <spPr>
            <a:solidFill xmlns:a="http://schemas.openxmlformats.org/drawingml/2006/main">
              <a:srgbClr val="64748B"/>
            </a:solidFill>
            <a:ln xmlns:a="http://schemas.openxmlformats.org/drawingml/2006/main">
              <a:solidFill>
                <a:srgbClr val="64748B"/>
              </a:solidFill>
              <a:prstDash val="solid"/>
            </a:ln>
          </spPr>
          <cat>
            <numRef>
              <f>'시각화'!$BQ$3:$BQ$9</f>
            </numRef>
          </cat>
          <val>
            <numRef>
              <f>'시각화'!$BR$3:$BR$9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Distribution Range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'시각화'!BU2</f>
            </strRef>
          </tx>
          <spPr>
            <a:solidFill xmlns:a="http://schemas.openxmlformats.org/drawingml/2006/main">
              <a:srgbClr val="64748B"/>
            </a:solidFill>
            <a:ln xmlns:a="http://schemas.openxmlformats.org/drawingml/2006/main">
              <a:solidFill>
                <a:srgbClr val="64748B"/>
              </a:solidFill>
              <a:prstDash val="solid"/>
            </a:ln>
          </spPr>
          <cat>
            <numRef>
              <f>'시각화'!$BT$3:$BT$8</f>
            </numRef>
          </cat>
          <val>
            <numRef>
              <f>'시각화'!$BU$3:$BU$8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'시각화'!$BX$2:$BY$2</f>
            </numRef>
          </cat>
          <val>
            <numRef>
              <f>'시각화'!$BX$3:$BY$3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WU Pass /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'시각화'!$BX$2:$BY$2</f>
            </numRef>
          </cat>
          <val>
            <numRef>
              <f>'시각화'!$BX$4:$BY$4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4</col>
      <colOff>0</colOff>
      <row>15</row>
      <rowOff>0</rowOff>
    </from>
    <ext cx="3168000" cy="23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15</row>
      <rowOff>0</rowOff>
    </from>
    <ext cx="3168000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29</row>
      <rowOff>0</rowOff>
    </from>
    <ext cx="3311999" cy="244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29</row>
      <rowOff>0</rowOff>
    </from>
    <ext cx="3311999" cy="244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51</row>
      <rowOff>0</rowOff>
    </from>
    <ext cx="2736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51</row>
      <rowOff>0</rowOff>
    </from>
    <ext cx="2736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3" customWidth="1" min="4" max="4"/>
    <col width="14" customWidth="1" min="5" max="5"/>
    <col width="12" customWidth="1" min="6" max="6"/>
    <col width="13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Manufacturing Intelligence</t>
        </is>
      </c>
      <c r="G1" s="2" t="inlineStr">
        <is>
          <t>Unit 04 / Quality Control</t>
        </is>
      </c>
      <c r="K1" s="3" t="inlineStr">
        <is>
          <t>Search LotID...</t>
        </is>
      </c>
      <c r="O1" s="4" t="n"/>
      <c r="P1" s="4" t="n"/>
      <c r="Q1" s="5" t="inlineStr">
        <is>
          <t>2026-03-26 10:14</t>
        </is>
      </c>
      <c r="R1" s="4" t="n"/>
    </row>
    <row r="2">
      <c r="BI2" t="inlineStr">
        <is>
          <t>BU_index</t>
        </is>
      </c>
      <c r="BJ2" t="inlineStr">
        <is>
          <t>BU_value</t>
        </is>
      </c>
      <c r="BK2" t="inlineStr">
        <is>
          <t>BU_spec</t>
        </is>
      </c>
      <c r="BM2" t="inlineStr">
        <is>
          <t>WU_index</t>
        </is>
      </c>
      <c r="BN2" t="inlineStr">
        <is>
          <t>WU_value</t>
        </is>
      </c>
      <c r="BO2" t="inlineStr">
        <is>
          <t>WU_spec</t>
        </is>
      </c>
      <c r="BQ2" t="inlineStr">
        <is>
          <t>BU_bucket</t>
        </is>
      </c>
      <c r="BR2" t="inlineStr">
        <is>
          <t>BU_count</t>
        </is>
      </c>
      <c r="BT2" t="inlineStr">
        <is>
          <t>WU_bucket</t>
        </is>
      </c>
      <c r="BU2" t="inlineStr">
        <is>
          <t>WU_count</t>
        </is>
      </c>
      <c r="BW2" t="inlineStr">
        <is>
          <t>Metric</t>
        </is>
      </c>
      <c r="BX2" t="inlineStr">
        <is>
          <t>Pass</t>
        </is>
      </c>
      <c r="BY2" t="inlineStr">
        <is>
          <t>Fail</t>
        </is>
      </c>
    </row>
    <row r="3">
      <c r="BI3" t="n">
        <v>1</v>
      </c>
      <c r="BJ3" t="n">
        <v>49.5</v>
      </c>
      <c r="BK3" t="n">
        <v>50</v>
      </c>
      <c r="BM3" t="n">
        <v>1</v>
      </c>
      <c r="BN3" t="n">
        <v>79.90000000000001</v>
      </c>
      <c r="BO3" t="n">
        <v>80</v>
      </c>
      <c r="BQ3" t="inlineStr">
        <is>
          <t>&lt;50%</t>
        </is>
      </c>
      <c r="BR3" t="n">
        <v>1</v>
      </c>
      <c r="BT3" t="inlineStr">
        <is>
          <t>&lt;80%</t>
        </is>
      </c>
      <c r="BU3" t="n">
        <v>1</v>
      </c>
      <c r="BW3" t="inlineStr">
        <is>
          <t>BU</t>
        </is>
      </c>
      <c r="BX3" t="n">
        <v>5</v>
      </c>
      <c r="BY3" t="n">
        <v>1</v>
      </c>
    </row>
    <row r="4">
      <c r="A4" s="6" t="inlineStr">
        <is>
          <t>Unit 04
QUALITY CONTROL</t>
        </is>
      </c>
      <c r="E4" s="7" t="inlineStr">
        <is>
          <t>BU FAIL
1 UNITS
SPEC 50.0</t>
        </is>
      </c>
      <c r="H4" s="8" t="inlineStr">
        <is>
          <t>WU FAIL
1 UNITS
SPEC 80.0</t>
        </is>
      </c>
      <c r="K4" s="9" t="inlineStr">
        <is>
          <t>PASS RATE
83.3%
OVERALL QUALITY</t>
        </is>
      </c>
      <c r="N4" s="10" t="inlineStr">
        <is>
          <t>TOTAL LOTID
6
BATCHES</t>
        </is>
      </c>
      <c r="BI4" t="n">
        <v>2</v>
      </c>
      <c r="BJ4" t="n">
        <v>50</v>
      </c>
      <c r="BK4" t="n">
        <v>50</v>
      </c>
      <c r="BM4" t="n">
        <v>2</v>
      </c>
      <c r="BN4" t="n">
        <v>80</v>
      </c>
      <c r="BO4" t="n">
        <v>80</v>
      </c>
      <c r="BQ4" t="inlineStr">
        <is>
          <t>50-52%</t>
        </is>
      </c>
      <c r="BR4" t="n">
        <v>1</v>
      </c>
      <c r="BT4" t="inlineStr">
        <is>
          <t>80-82%</t>
        </is>
      </c>
      <c r="BU4" t="n">
        <v>1</v>
      </c>
      <c r="BW4" t="inlineStr">
        <is>
          <t>WU</t>
        </is>
      </c>
      <c r="BX4" t="n">
        <v>5</v>
      </c>
      <c r="BY4" t="n">
        <v>1</v>
      </c>
    </row>
    <row r="5">
      <c r="BI5" t="n">
        <v>3</v>
      </c>
      <c r="BJ5" t="n">
        <v>52.3</v>
      </c>
      <c r="BK5" t="n">
        <v>50</v>
      </c>
      <c r="BM5" t="n">
        <v>3</v>
      </c>
      <c r="BN5" t="n">
        <v>82.09999999999999</v>
      </c>
      <c r="BO5" t="n">
        <v>80</v>
      </c>
      <c r="BQ5" t="inlineStr">
        <is>
          <t>52-54%</t>
        </is>
      </c>
      <c r="BR5" t="n">
        <v>1</v>
      </c>
      <c r="BT5" t="inlineStr">
        <is>
          <t>82-84%</t>
        </is>
      </c>
      <c r="BU5" t="n">
        <v>1</v>
      </c>
    </row>
    <row r="6">
      <c r="BI6" t="n">
        <v>4</v>
      </c>
      <c r="BJ6" t="n">
        <v>54.8</v>
      </c>
      <c r="BK6" t="n">
        <v>50</v>
      </c>
      <c r="BM6" t="n">
        <v>4</v>
      </c>
      <c r="BN6" t="n">
        <v>84.2</v>
      </c>
      <c r="BO6" t="n">
        <v>80</v>
      </c>
      <c r="BQ6" t="inlineStr">
        <is>
          <t>54-56%</t>
        </is>
      </c>
      <c r="BR6" t="n">
        <v>1</v>
      </c>
      <c r="BT6" t="inlineStr">
        <is>
          <t>84-86%</t>
        </is>
      </c>
      <c r="BU6" t="n">
        <v>1</v>
      </c>
    </row>
    <row r="7">
      <c r="BI7" t="n">
        <v>5</v>
      </c>
      <c r="BJ7" t="n">
        <v>58.7</v>
      </c>
      <c r="BK7" t="n">
        <v>50</v>
      </c>
      <c r="BM7" t="n">
        <v>5</v>
      </c>
      <c r="BN7" t="n">
        <v>86.5</v>
      </c>
      <c r="BO7" t="n">
        <v>80</v>
      </c>
      <c r="BQ7" t="inlineStr">
        <is>
          <t>56-58%</t>
        </is>
      </c>
      <c r="BR7" t="n">
        <v>0</v>
      </c>
      <c r="BT7" t="inlineStr">
        <is>
          <t>86-88%</t>
        </is>
      </c>
      <c r="BU7" t="n">
        <v>1</v>
      </c>
    </row>
    <row r="8">
      <c r="A8" s="11" t="inlineStr">
        <is>
          <t>Overview</t>
        </is>
      </c>
      <c r="E8" s="12" t="inlineStr">
        <is>
          <t>Metric Summary</t>
        </is>
      </c>
      <c r="M8" s="13" t="inlineStr">
        <is>
          <t>WORST BU LOTID</t>
        </is>
      </c>
      <c r="BI8" t="n">
        <v>6</v>
      </c>
      <c r="BJ8" t="n">
        <v>61.2</v>
      </c>
      <c r="BK8" t="n">
        <v>50</v>
      </c>
      <c r="BM8" t="n">
        <v>6</v>
      </c>
      <c r="BN8" t="n">
        <v>89.09999999999999</v>
      </c>
      <c r="BO8" t="n">
        <v>80</v>
      </c>
      <c r="BQ8" t="inlineStr">
        <is>
          <t>58-60%</t>
        </is>
      </c>
      <c r="BR8" t="n">
        <v>1</v>
      </c>
      <c r="BT8" t="inlineStr">
        <is>
          <t>&gt;88%</t>
        </is>
      </c>
      <c r="BU8" t="n">
        <v>1</v>
      </c>
    </row>
    <row r="9">
      <c r="M9" s="14" t="inlineStr">
        <is>
          <t>LOTID</t>
        </is>
      </c>
      <c r="N9" s="14" t="inlineStr">
        <is>
          <t>VALUE</t>
        </is>
      </c>
      <c r="BQ9" t="inlineStr">
        <is>
          <t>&gt;60%</t>
        </is>
      </c>
      <c r="BR9" t="n">
        <v>1</v>
      </c>
    </row>
    <row r="10">
      <c r="A10" s="15" t="inlineStr">
        <is>
          <t>Detailed Metrics</t>
        </is>
      </c>
      <c r="E10" s="16" t="inlineStr">
        <is>
          <t>METRIC</t>
        </is>
      </c>
      <c r="F10" s="16" t="inlineStr">
        <is>
          <t>SPEC
MIN</t>
        </is>
      </c>
      <c r="G10" s="16" t="inlineStr">
        <is>
          <t>COUNT</t>
        </is>
      </c>
      <c r="H10" s="16" t="inlineStr">
        <is>
          <t>PASS</t>
        </is>
      </c>
      <c r="I10" s="16" t="inlineStr">
        <is>
          <t>FAIL</t>
        </is>
      </c>
      <c r="J10" s="16" t="inlineStr">
        <is>
          <t>MIN</t>
        </is>
      </c>
      <c r="K10" s="16" t="inlineStr">
        <is>
          <t>AVG</t>
        </is>
      </c>
      <c r="L10" s="16" t="inlineStr">
        <is>
          <t>MEDIAN</t>
        </is>
      </c>
      <c r="M10" s="17" t="inlineStr">
        <is>
          <t>P1</t>
        </is>
      </c>
      <c r="R10" s="18" t="n">
        <v>49.5</v>
      </c>
    </row>
    <row r="11">
      <c r="E11" s="19" t="inlineStr">
        <is>
          <t>Black
Uniformity</t>
        </is>
      </c>
      <c r="F11" s="20" t="n">
        <v>50</v>
      </c>
      <c r="G11" s="20" t="n">
        <v>6</v>
      </c>
      <c r="H11" s="20" t="n">
        <v>5</v>
      </c>
      <c r="I11" s="20" t="n">
        <v>1</v>
      </c>
      <c r="J11" s="20" t="n">
        <v>49.5</v>
      </c>
      <c r="K11" s="20" t="n">
        <v>54.41666666666666</v>
      </c>
      <c r="L11" s="20" t="n">
        <v>53.55</v>
      </c>
      <c r="M11" s="17" t="inlineStr">
        <is>
          <t>P2</t>
        </is>
      </c>
      <c r="R11" s="18" t="n">
        <v>50</v>
      </c>
    </row>
    <row r="12">
      <c r="A12" s="15" t="inlineStr">
        <is>
          <t>Trend Analysis</t>
        </is>
      </c>
      <c r="E12" s="19" t="inlineStr">
        <is>
          <t>White
Uniformity</t>
        </is>
      </c>
      <c r="F12" s="20" t="n">
        <v>80</v>
      </c>
      <c r="G12" s="20" t="n">
        <v>6</v>
      </c>
      <c r="H12" s="20" t="n">
        <v>5</v>
      </c>
      <c r="I12" s="20" t="n">
        <v>1</v>
      </c>
      <c r="J12" s="20" t="n">
        <v>79.90000000000001</v>
      </c>
      <c r="K12" s="20" t="n">
        <v>83.63333333333334</v>
      </c>
      <c r="L12" s="20" t="n">
        <v>83.15000000000001</v>
      </c>
      <c r="M12" s="17" t="inlineStr">
        <is>
          <t>P3</t>
        </is>
      </c>
      <c r="R12" s="18" t="n">
        <v>52.3</v>
      </c>
    </row>
    <row r="14">
      <c r="A14" s="15" t="inlineStr">
        <is>
          <t>Historical Records</t>
        </is>
      </c>
      <c r="M14" s="21" t="inlineStr">
        <is>
          <t>WORST WU LOTID</t>
        </is>
      </c>
    </row>
    <row r="15">
      <c r="M15" s="14" t="inlineStr">
        <is>
          <t>LOTID</t>
        </is>
      </c>
      <c r="N15" s="14" t="inlineStr">
        <is>
          <t>VALUE</t>
        </is>
      </c>
    </row>
    <row r="16">
      <c r="M16" s="17" t="inlineStr">
        <is>
          <t>P1</t>
        </is>
      </c>
      <c r="R16" s="18" t="n">
        <v>79.90000000000001</v>
      </c>
    </row>
    <row r="17">
      <c r="M17" s="17" t="inlineStr">
        <is>
          <t>P2</t>
        </is>
      </c>
      <c r="R17" s="18" t="n">
        <v>80</v>
      </c>
    </row>
    <row r="18">
      <c r="M18" s="17" t="inlineStr">
        <is>
          <t>P3</t>
        </is>
      </c>
      <c r="R18" s="18" t="n">
        <v>82.09999999999999</v>
      </c>
    </row>
    <row r="41">
      <c r="E41" s="17" t="inlineStr">
        <is>
          <t>BU RANGE DISTRIBUTION</t>
        </is>
      </c>
      <c r="J41" s="17" t="inlineStr">
        <is>
          <t>WU RANGE DISTRIBUTION</t>
        </is>
      </c>
    </row>
    <row r="42">
      <c r="E42" s="22" t="inlineStr">
        <is>
          <t>RANGE</t>
        </is>
      </c>
      <c r="F42" s="22" t="inlineStr">
        <is>
          <t>DISTRIBUTION</t>
        </is>
      </c>
      <c r="H42" s="22" t="inlineStr">
        <is>
          <t>COUNT</t>
        </is>
      </c>
      <c r="J42" s="22" t="inlineStr">
        <is>
          <t>RANGE</t>
        </is>
      </c>
      <c r="K42" s="22" t="inlineStr">
        <is>
          <t>DISTRIBUTION</t>
        </is>
      </c>
      <c r="M42" s="22" t="inlineStr">
        <is>
          <t>COUNT</t>
        </is>
      </c>
    </row>
    <row r="43">
      <c r="E43" s="23" t="inlineStr">
        <is>
          <t>&lt;50%</t>
        </is>
      </c>
      <c r="F43" s="24" t="inlineStr">
        <is>
          <t>▇▇▇ 16.7%</t>
        </is>
      </c>
      <c r="H43" s="25" t="n">
        <v>1</v>
      </c>
      <c r="J43" s="23" t="inlineStr">
        <is>
          <t>&lt;80%</t>
        </is>
      </c>
      <c r="K43" s="24" t="inlineStr">
        <is>
          <t>▇▇▇ 16.7%</t>
        </is>
      </c>
      <c r="M43" s="25" t="n">
        <v>1</v>
      </c>
    </row>
    <row r="44">
      <c r="E44" s="23" t="inlineStr">
        <is>
          <t>50-52%</t>
        </is>
      </c>
      <c r="F44" s="24" t="inlineStr">
        <is>
          <t>▇▇▇ 16.7%</t>
        </is>
      </c>
      <c r="H44" s="25" t="n">
        <v>1</v>
      </c>
      <c r="J44" s="23" t="inlineStr">
        <is>
          <t>80-82%</t>
        </is>
      </c>
      <c r="K44" s="24" t="inlineStr">
        <is>
          <t>▇▇▇ 16.7%</t>
        </is>
      </c>
      <c r="M44" s="25" t="n">
        <v>1</v>
      </c>
    </row>
    <row r="45">
      <c r="E45" s="23" t="inlineStr">
        <is>
          <t>52-54%</t>
        </is>
      </c>
      <c r="F45" s="24" t="inlineStr">
        <is>
          <t>▇▇▇ 16.7%</t>
        </is>
      </c>
      <c r="H45" s="25" t="n">
        <v>1</v>
      </c>
      <c r="J45" s="23" t="inlineStr">
        <is>
          <t>82-84%</t>
        </is>
      </c>
      <c r="K45" s="24" t="inlineStr">
        <is>
          <t>▇▇▇ 16.7%</t>
        </is>
      </c>
      <c r="M45" s="25" t="n">
        <v>1</v>
      </c>
    </row>
    <row r="46">
      <c r="E46" s="23" t="inlineStr">
        <is>
          <t>54-56%</t>
        </is>
      </c>
      <c r="F46" s="24" t="inlineStr">
        <is>
          <t>▇▇▇ 16.7%</t>
        </is>
      </c>
      <c r="H46" s="25" t="n">
        <v>1</v>
      </c>
      <c r="J46" s="23" t="inlineStr">
        <is>
          <t>84-86%</t>
        </is>
      </c>
      <c r="K46" s="24" t="inlineStr">
        <is>
          <t>▇▇▇ 16.7%</t>
        </is>
      </c>
      <c r="M46" s="25" t="n">
        <v>1</v>
      </c>
    </row>
    <row r="47">
      <c r="E47" s="23" t="inlineStr">
        <is>
          <t>56-58%</t>
        </is>
      </c>
      <c r="F47" s="24" t="inlineStr"/>
      <c r="H47" s="25" t="n">
        <v>0</v>
      </c>
      <c r="J47" s="23" t="inlineStr">
        <is>
          <t>86-88%</t>
        </is>
      </c>
      <c r="K47" s="24" t="inlineStr">
        <is>
          <t>▇▇▇ 16.7%</t>
        </is>
      </c>
      <c r="M47" s="25" t="n">
        <v>1</v>
      </c>
    </row>
    <row r="48">
      <c r="E48" s="23" t="inlineStr">
        <is>
          <t>58-60%</t>
        </is>
      </c>
      <c r="F48" s="24" t="inlineStr">
        <is>
          <t>▇▇▇ 16.7%</t>
        </is>
      </c>
      <c r="H48" s="25" t="n">
        <v>1</v>
      </c>
      <c r="J48" s="23" t="inlineStr">
        <is>
          <t>&gt;88%</t>
        </is>
      </c>
      <c r="K48" s="24" t="inlineStr">
        <is>
          <t>▇▇▇ 16.7%</t>
        </is>
      </c>
      <c r="M48" s="25" t="n">
        <v>1</v>
      </c>
    </row>
    <row r="49">
      <c r="E49" s="23" t="inlineStr">
        <is>
          <t>&gt;60%</t>
        </is>
      </c>
      <c r="F49" s="24" t="inlineStr">
        <is>
          <t>▇▇▇ 16.7%</t>
        </is>
      </c>
      <c r="H49" s="25" t="n">
        <v>1</v>
      </c>
    </row>
    <row r="64">
      <c r="A64" s="26" t="inlineStr">
        <is>
          <t>RAW COMPONENT DATA (DETAILED INDEX)</t>
        </is>
      </c>
    </row>
    <row r="65">
      <c r="BA65" s="27" t="inlineStr">
        <is>
          <t>INDEX</t>
        </is>
      </c>
      <c r="BB65" s="27" t="inlineStr">
        <is>
          <t>LOTID</t>
        </is>
      </c>
      <c r="BC65" s="27" t="inlineStr">
        <is>
          <t>BU VALUE</t>
        </is>
      </c>
      <c r="BD65" s="27" t="inlineStr">
        <is>
          <t>WU VALUE</t>
        </is>
      </c>
      <c r="BE65" s="27" t="inlineStr">
        <is>
          <t>RESULT</t>
        </is>
      </c>
    </row>
    <row r="66">
      <c r="BA66" t="n">
        <v>0</v>
      </c>
      <c r="BB66" t="inlineStr">
        <is>
          <t>P1</t>
        </is>
      </c>
      <c r="BC66" t="n">
        <v>49.5</v>
      </c>
      <c r="BD66" t="n">
        <v>79.90000000000001</v>
      </c>
      <c r="BE66" t="inlineStr">
        <is>
          <t>OK</t>
        </is>
      </c>
    </row>
    <row r="67">
      <c r="BA67" t="n">
        <v>1</v>
      </c>
      <c r="BB67" t="inlineStr">
        <is>
          <t>P2</t>
        </is>
      </c>
      <c r="BC67" t="n">
        <v>50</v>
      </c>
      <c r="BD67" t="n">
        <v>80</v>
      </c>
      <c r="BE67" t="inlineStr">
        <is>
          <t>NG</t>
        </is>
      </c>
    </row>
    <row r="68">
      <c r="BA68" t="n">
        <v>2</v>
      </c>
      <c r="BB68" t="inlineStr">
        <is>
          <t>P3</t>
        </is>
      </c>
      <c r="BC68" t="n">
        <v>52.3</v>
      </c>
      <c r="BD68" t="n">
        <v>82.09999999999999</v>
      </c>
      <c r="BE68" t="inlineStr">
        <is>
          <t>OK</t>
        </is>
      </c>
    </row>
    <row r="69">
      <c r="BA69" t="n">
        <v>3</v>
      </c>
      <c r="BB69" t="inlineStr">
        <is>
          <t>P4</t>
        </is>
      </c>
      <c r="BC69" t="n">
        <v>54.8</v>
      </c>
      <c r="BD69" t="n">
        <v>84.2</v>
      </c>
      <c r="BE69" t="inlineStr">
        <is>
          <t>OK</t>
        </is>
      </c>
    </row>
    <row r="70">
      <c r="BA70" t="n">
        <v>4</v>
      </c>
      <c r="BB70" t="inlineStr">
        <is>
          <t>P5</t>
        </is>
      </c>
      <c r="BC70" t="n">
        <v>58.7</v>
      </c>
      <c r="BD70" t="n">
        <v>86.5</v>
      </c>
      <c r="BE70" t="inlineStr">
        <is>
          <t>OK</t>
        </is>
      </c>
    </row>
    <row r="71">
      <c r="BA71" t="n">
        <v>5</v>
      </c>
      <c r="BB71" t="inlineStr">
        <is>
          <t>P6</t>
        </is>
      </c>
      <c r="BC71" t="n">
        <v>61.2</v>
      </c>
      <c r="BD71" t="n">
        <v>89.09999999999999</v>
      </c>
      <c r="BE71" t="inlineStr">
        <is>
          <t>OK</t>
        </is>
      </c>
    </row>
  </sheetData>
  <mergeCells count="31">
    <mergeCell ref="K45:L45"/>
    <mergeCell ref="E41:H41"/>
    <mergeCell ref="A12:C12"/>
    <mergeCell ref="K1:N2"/>
    <mergeCell ref="K47:L47"/>
    <mergeCell ref="A8:C8"/>
    <mergeCell ref="A14:C14"/>
    <mergeCell ref="A1:F2"/>
    <mergeCell ref="K44:L44"/>
    <mergeCell ref="F45:G45"/>
    <mergeCell ref="K46:L46"/>
    <mergeCell ref="M8:R8"/>
    <mergeCell ref="A10:C10"/>
    <mergeCell ref="M14:R14"/>
    <mergeCell ref="F47:G47"/>
    <mergeCell ref="K43:L43"/>
    <mergeCell ref="K4:M6"/>
    <mergeCell ref="A4:C6"/>
    <mergeCell ref="F46:G46"/>
    <mergeCell ref="G1:J2"/>
    <mergeCell ref="K48:L48"/>
    <mergeCell ref="E8:L9"/>
    <mergeCell ref="F43:G43"/>
    <mergeCell ref="A64:L64"/>
    <mergeCell ref="F48:G48"/>
    <mergeCell ref="H4:J6"/>
    <mergeCell ref="N4:P6"/>
    <mergeCell ref="F49:G49"/>
    <mergeCell ref="E4:G6"/>
    <mergeCell ref="J41:M41"/>
    <mergeCell ref="F44:G4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2026-03-26T01:14:21Z</dcterms:created>
  <dcterms:modified xmlns:dcterms="http://purl.org/dc/terms/" xmlns:xsi="http://www.w3.org/2001/XMLSchema-instance" xsi:type="dcterms:W3CDTF">2026-03-26T01:14:21Z</dcterms:modified>
</cp:coreProperties>
</file>