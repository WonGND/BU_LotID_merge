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각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937"/>
      <sz val="17"/>
    </font>
    <font>
      <b val="1"/>
      <color rgb="0064748B"/>
      <sz val="10"/>
    </font>
    <font>
      <color rgb="0094A3B8"/>
      <sz val="11"/>
    </font>
    <font>
      <color rgb="0064748B"/>
      <sz val="9"/>
    </font>
    <font>
      <b val="1"/>
      <color rgb="00FFFFFF"/>
      <sz val="12"/>
    </font>
    <font>
      <b val="1"/>
      <color rgb="00334155"/>
      <sz val="11"/>
    </font>
    <font>
      <b val="1"/>
      <color rgb="00334155"/>
      <sz val="14"/>
    </font>
    <font>
      <b val="1"/>
      <color rgb="0064748B"/>
      <sz val="8"/>
    </font>
    <font>
      <b val="1"/>
      <color rgb="0064748B"/>
      <sz val="9"/>
    </font>
    <font>
      <b val="1"/>
      <color rgb="00334155"/>
      <sz val="12"/>
    </font>
    <font>
      <color rgb="00334155"/>
      <sz val="11"/>
    </font>
    <font>
      <b val="1"/>
      <color rgb="00475569"/>
      <sz val="10"/>
    </font>
    <font>
      <b val="1"/>
      <color rgb="00DC2626"/>
      <sz val="10"/>
    </font>
    <font>
      <b val="1"/>
      <color rgb="00475569"/>
      <sz val="9"/>
    </font>
    <font>
      <color rgb="0064748B"/>
      <sz val="10"/>
    </font>
    <font>
      <b val="1"/>
      <color rgb="00475569"/>
      <sz val="11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EF4F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9" borderId="0" pivotButton="0" quotePrefix="0" xfId="0"/>
    <xf numFmtId="0" fontId="10" fillId="9" borderId="0" applyAlignment="1" pivotButton="0" quotePrefix="0" xfId="0">
      <alignment horizontal="right"/>
    </xf>
    <xf numFmtId="0" fontId="8" fillId="10" borderId="0" pivotButton="0" quotePrefix="0" xfId="0"/>
    <xf numFmtId="0" fontId="6" fillId="2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3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9" fillId="0" borderId="0" pivotButton="0" quotePrefix="0" xfId="0"/>
    <xf numFmtId="0" fontId="16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'시각화'!BJ2</f>
            </strRef>
          </tx>
          <spPr>
            <a:ln xmlns:a="http://schemas.openxmlformats.org/drawingml/2006/main" w="26000">
              <a:solidFill>
                <a:srgbClr val="64748B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'시각화'!$BI$3:$BI$4</f>
            </numRef>
          </cat>
          <val>
            <numRef>
              <f>'시각화'!$BJ$3:$BJ$4</f>
            </numRef>
          </val>
        </ser>
        <ser>
          <idx val="1"/>
          <order val="1"/>
          <tx>
            <strRef>
              <f>'시각화'!BK2</f>
            </strRef>
          </tx>
          <spPr>
            <a:ln xmlns:a="http://schemas.openxmlformats.org/drawingml/2006/main" w="16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'시각화'!$BI$3:$BI$4</f>
            </numRef>
          </cat>
          <val>
            <numRef>
              <f>'시각화'!$BK$3:$BK$4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69 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 Value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'시각화'!BN2</f>
            </strRef>
          </tx>
          <spPr>
            <a:ln xmlns:a="http://schemas.openxmlformats.org/drawingml/2006/main" w="26000">
              <a:solidFill>
                <a:srgbClr val="64748B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'시각화'!$BM$3:$BM$4</f>
            </numRef>
          </cat>
          <val>
            <numRef>
              <f>'시각화'!$BN$3:$BN$4</f>
            </numRef>
          </val>
        </ser>
        <ser>
          <idx val="1"/>
          <order val="1"/>
          <tx>
            <strRef>
              <f>'시각화'!BO2</f>
            </strRef>
          </tx>
          <spPr>
            <a:ln xmlns:a="http://schemas.openxmlformats.org/drawingml/2006/main" w="16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'시각화'!$BM$3:$BM$4</f>
            </numRef>
          </cat>
          <val>
            <numRef>
              <f>'시각화'!$BO$3:$BO$4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69 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WU Value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'시각화'!BR2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'시각화'!$BQ$3:$BQ$6</f>
            </numRef>
          </cat>
          <val>
            <numRef>
              <f>'시각화'!$BR$3:$BR$6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'시각화'!BU2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'시각화'!$BT$3:$BT$6</f>
            </numRef>
          </cat>
          <val>
            <numRef>
              <f>'시각화'!$BU$3:$BU$6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'시각화'!$BX$3:$BY$3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'시각화'!$BX$4:$BY$4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3311999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3311999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3311999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311999" cy="244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41</row>
      <rowOff>0</rowOff>
    </from>
    <ext cx="2736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41</row>
      <rowOff>0</rowOff>
    </from>
    <ext cx="2736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Manufacturing Intelligence</t>
        </is>
      </c>
      <c r="G1" s="2" t="inlineStr">
        <is>
          <t>Unit 04 / Quality Control</t>
        </is>
      </c>
      <c r="K1" s="3" t="inlineStr">
        <is>
          <t>Search LotID...</t>
        </is>
      </c>
      <c r="O1" s="4" t="n"/>
      <c r="P1" s="4" t="n"/>
      <c r="Q1" s="5" t="inlineStr">
        <is>
          <t>2026-03-23 18:29</t>
        </is>
      </c>
      <c r="R1" s="4" t="n"/>
    </row>
    <row r="2">
      <c r="BI2" t="inlineStr">
        <is>
          <t>BU_index</t>
        </is>
      </c>
      <c r="BJ2" t="inlineStr">
        <is>
          <t>BU_value</t>
        </is>
      </c>
      <c r="BK2" t="inlineStr">
        <is>
          <t>BU_spec</t>
        </is>
      </c>
      <c r="BM2" t="inlineStr">
        <is>
          <t>WU_index</t>
        </is>
      </c>
      <c r="BN2" t="inlineStr">
        <is>
          <t>WU_value</t>
        </is>
      </c>
      <c r="BO2" t="inlineStr">
        <is>
          <t>WU_spec</t>
        </is>
      </c>
      <c r="BQ2" t="inlineStr">
        <is>
          <t>BU_bucket</t>
        </is>
      </c>
      <c r="BR2" t="inlineStr">
        <is>
          <t>BU_count</t>
        </is>
      </c>
      <c r="BT2" t="inlineStr">
        <is>
          <t>WU_bucket</t>
        </is>
      </c>
      <c r="BU2" t="inlineStr">
        <is>
          <t>WU_count</t>
        </is>
      </c>
      <c r="BW2" t="inlineStr">
        <is>
          <t>Metric</t>
        </is>
      </c>
      <c r="BX2" t="inlineStr">
        <is>
          <t>Pass</t>
        </is>
      </c>
      <c r="BY2" t="inlineStr">
        <is>
          <t>Fail</t>
        </is>
      </c>
    </row>
    <row r="3">
      <c r="BI3" t="n">
        <v>1</v>
      </c>
      <c r="BJ3" t="n">
        <v>49.1</v>
      </c>
      <c r="BK3" t="n">
        <v>50</v>
      </c>
      <c r="BM3" t="n">
        <v>1</v>
      </c>
      <c r="BN3" t="n">
        <v>79.5</v>
      </c>
      <c r="BO3" t="n">
        <v>80</v>
      </c>
      <c r="BQ3" t="inlineStr">
        <is>
          <t>84-86%</t>
        </is>
      </c>
      <c r="BR3" t="n">
        <v>0</v>
      </c>
      <c r="BT3" t="inlineStr">
        <is>
          <t>84-86%</t>
        </is>
      </c>
      <c r="BU3" t="n">
        <v>0</v>
      </c>
      <c r="BW3" t="inlineStr">
        <is>
          <t>BU</t>
        </is>
      </c>
      <c r="BX3" t="n">
        <v>1</v>
      </c>
      <c r="BY3" t="n">
        <v>1</v>
      </c>
    </row>
    <row r="4">
      <c r="A4" s="6" t="inlineStr">
        <is>
          <t>Unit 04
QUALITY CONTROL</t>
        </is>
      </c>
      <c r="E4" s="7" t="inlineStr">
        <is>
          <t>BU FAIL
1 UNITS
SPEC 50.0</t>
        </is>
      </c>
      <c r="H4" s="8" t="inlineStr">
        <is>
          <t>WU FAIL
1 UNITS
SPEC 80.0</t>
        </is>
      </c>
      <c r="K4" s="9" t="inlineStr">
        <is>
          <t>PASS RATE
50.0%
OVERALL QUALITY</t>
        </is>
      </c>
      <c r="N4" s="10" t="inlineStr">
        <is>
          <t>TOTAL LOTID
2
BATCHES</t>
        </is>
      </c>
      <c r="BI4" t="n">
        <v>2</v>
      </c>
      <c r="BJ4" t="n">
        <v>51.2</v>
      </c>
      <c r="BK4" t="n">
        <v>50</v>
      </c>
      <c r="BM4" t="n">
        <v>2</v>
      </c>
      <c r="BN4" t="n">
        <v>81.09999999999999</v>
      </c>
      <c r="BO4" t="n">
        <v>80</v>
      </c>
      <c r="BQ4" t="inlineStr">
        <is>
          <t>82-84%</t>
        </is>
      </c>
      <c r="BR4" t="n">
        <v>0</v>
      </c>
      <c r="BT4" t="inlineStr">
        <is>
          <t>82-84%</t>
        </is>
      </c>
      <c r="BU4" t="n">
        <v>0</v>
      </c>
      <c r="BW4" t="inlineStr">
        <is>
          <t>WU</t>
        </is>
      </c>
      <c r="BX4" t="n">
        <v>1</v>
      </c>
      <c r="BY4" t="n">
        <v>1</v>
      </c>
    </row>
    <row r="5">
      <c r="BQ5" t="inlineStr">
        <is>
          <t>80-82%</t>
        </is>
      </c>
      <c r="BR5" t="n">
        <v>0</v>
      </c>
      <c r="BT5" t="inlineStr">
        <is>
          <t>80-82%</t>
        </is>
      </c>
      <c r="BU5" t="n">
        <v>1</v>
      </c>
    </row>
    <row r="6">
      <c r="BQ6" t="inlineStr">
        <is>
          <t>75-80%</t>
        </is>
      </c>
      <c r="BR6" t="n">
        <v>0</v>
      </c>
      <c r="BT6" t="inlineStr">
        <is>
          <t>75-80%</t>
        </is>
      </c>
      <c r="BU6" t="n">
        <v>1</v>
      </c>
    </row>
    <row r="8">
      <c r="A8" s="11" t="inlineStr">
        <is>
          <t>Overview</t>
        </is>
      </c>
      <c r="E8" s="12" t="inlineStr">
        <is>
          <t>Metric Summary</t>
        </is>
      </c>
      <c r="M8" s="13" t="inlineStr">
        <is>
          <t>WORST BU LOTID</t>
        </is>
      </c>
    </row>
    <row r="9">
      <c r="M9" s="14" t="inlineStr">
        <is>
          <t>LOTID</t>
        </is>
      </c>
      <c r="N9" s="14" t="inlineStr">
        <is>
          <t>VALUE</t>
        </is>
      </c>
    </row>
    <row r="10">
      <c r="A10" s="15" t="inlineStr">
        <is>
          <t>Detailed Metrics</t>
        </is>
      </c>
      <c r="E10" s="16" t="inlineStr">
        <is>
          <t>METRIC</t>
        </is>
      </c>
      <c r="F10" s="16" t="inlineStr">
        <is>
          <t>SPEC
MIN</t>
        </is>
      </c>
      <c r="G10" s="16" t="inlineStr">
        <is>
          <t>COUNT</t>
        </is>
      </c>
      <c r="H10" s="16" t="inlineStr">
        <is>
          <t>PASS</t>
        </is>
      </c>
      <c r="I10" s="16" t="inlineStr">
        <is>
          <t>FAIL</t>
        </is>
      </c>
      <c r="J10" s="16" t="inlineStr">
        <is>
          <t>MIN</t>
        </is>
      </c>
      <c r="K10" s="16" t="inlineStr">
        <is>
          <t>AVG</t>
        </is>
      </c>
      <c r="L10" s="16" t="inlineStr">
        <is>
          <t>MEDIAN</t>
        </is>
      </c>
      <c r="M10" s="17" t="inlineStr">
        <is>
          <t>LOT2</t>
        </is>
      </c>
      <c r="R10" s="18" t="n">
        <v>49.1</v>
      </c>
    </row>
    <row r="11">
      <c r="E11" s="19" t="inlineStr">
        <is>
          <t>Black
Uniformity</t>
        </is>
      </c>
      <c r="F11" s="20" t="n">
        <v>50</v>
      </c>
      <c r="G11" s="20" t="n">
        <v>2</v>
      </c>
      <c r="H11" s="20" t="n">
        <v>1</v>
      </c>
      <c r="I11" s="20" t="n">
        <v>1</v>
      </c>
      <c r="J11" s="20" t="n">
        <v>49.1</v>
      </c>
      <c r="K11" s="20" t="n">
        <v>50.15000000000001</v>
      </c>
      <c r="L11" s="20" t="n">
        <v>50.15000000000001</v>
      </c>
      <c r="M11" s="17" t="inlineStr">
        <is>
          <t>LOT1</t>
        </is>
      </c>
      <c r="R11" s="18" t="n">
        <v>51.2</v>
      </c>
    </row>
    <row r="12">
      <c r="A12" s="15" t="inlineStr">
        <is>
          <t>Trend Analysis</t>
        </is>
      </c>
      <c r="E12" s="19" t="inlineStr">
        <is>
          <t>White
Uniformity</t>
        </is>
      </c>
      <c r="F12" s="20" t="n">
        <v>80</v>
      </c>
      <c r="G12" s="20" t="n">
        <v>2</v>
      </c>
      <c r="H12" s="20" t="n">
        <v>1</v>
      </c>
      <c r="I12" s="20" t="n">
        <v>1</v>
      </c>
      <c r="J12" s="20" t="n">
        <v>79.5</v>
      </c>
      <c r="K12" s="20" t="n">
        <v>80.3</v>
      </c>
      <c r="L12" s="20" t="n">
        <v>80.3</v>
      </c>
    </row>
    <row r="14">
      <c r="A14" s="15" t="inlineStr">
        <is>
          <t>Historical Records</t>
        </is>
      </c>
      <c r="M14" s="21" t="inlineStr">
        <is>
          <t>WORST WU LOTID</t>
        </is>
      </c>
    </row>
    <row r="15">
      <c r="M15" s="14" t="inlineStr">
        <is>
          <t>LOTID</t>
        </is>
      </c>
      <c r="N15" s="14" t="inlineStr">
        <is>
          <t>VALUE</t>
        </is>
      </c>
    </row>
    <row r="16">
      <c r="M16" s="17" t="inlineStr">
        <is>
          <t>LOT2</t>
        </is>
      </c>
      <c r="R16" s="18" t="n">
        <v>79.5</v>
      </c>
    </row>
    <row r="17">
      <c r="M17" s="17" t="inlineStr">
        <is>
          <t>LOT1</t>
        </is>
      </c>
      <c r="R17" s="18" t="n">
        <v>81.09999999999999</v>
      </c>
    </row>
    <row r="22">
      <c r="M22" s="17" t="inlineStr">
        <is>
          <t>BU RANGE DISTRIBUTION</t>
        </is>
      </c>
    </row>
    <row r="23">
      <c r="M23" s="22" t="inlineStr">
        <is>
          <t>84-86%</t>
        </is>
      </c>
      <c r="O23" s="23" t="inlineStr">
        <is>
          <t>▇</t>
        </is>
      </c>
      <c r="Q23" s="24" t="n">
        <v>0</v>
      </c>
    </row>
    <row r="24">
      <c r="M24" s="22" t="inlineStr">
        <is>
          <t>82-84%</t>
        </is>
      </c>
      <c r="O24" s="23" t="inlineStr">
        <is>
          <t>▇</t>
        </is>
      </c>
      <c r="Q24" s="24" t="n">
        <v>0</v>
      </c>
    </row>
    <row r="25">
      <c r="M25" s="22" t="inlineStr">
        <is>
          <t>80-82%</t>
        </is>
      </c>
      <c r="O25" s="23" t="inlineStr">
        <is>
          <t>▇</t>
        </is>
      </c>
      <c r="Q25" s="24" t="n">
        <v>0</v>
      </c>
    </row>
    <row r="26">
      <c r="M26" s="22" t="inlineStr">
        <is>
          <t>75-80%</t>
        </is>
      </c>
      <c r="O26" s="23" t="inlineStr">
        <is>
          <t>▇</t>
        </is>
      </c>
      <c r="Q26" s="24" t="n">
        <v>0</v>
      </c>
    </row>
    <row r="29">
      <c r="M29" s="17" t="inlineStr">
        <is>
          <t>WU RANGE DISTRIBUTION</t>
        </is>
      </c>
    </row>
    <row r="30">
      <c r="M30" s="22" t="inlineStr">
        <is>
          <t>84-86%</t>
        </is>
      </c>
      <c r="O30" s="23" t="inlineStr">
        <is>
          <t>▇</t>
        </is>
      </c>
      <c r="Q30" s="24" t="n">
        <v>0</v>
      </c>
    </row>
    <row r="31">
      <c r="M31" s="22" t="inlineStr">
        <is>
          <t>82-84%</t>
        </is>
      </c>
      <c r="O31" s="23" t="inlineStr">
        <is>
          <t>▇</t>
        </is>
      </c>
      <c r="Q31" s="24" t="n">
        <v>0</v>
      </c>
    </row>
    <row r="32">
      <c r="M32" s="22" t="inlineStr">
        <is>
          <t>80-82%</t>
        </is>
      </c>
      <c r="O32" s="23" t="inlineStr">
        <is>
          <t>▇</t>
        </is>
      </c>
      <c r="Q32" s="24" t="n">
        <v>1</v>
      </c>
    </row>
    <row r="33">
      <c r="M33" s="22" t="inlineStr">
        <is>
          <t>75-80%</t>
        </is>
      </c>
      <c r="O33" s="23" t="inlineStr">
        <is>
          <t>▇</t>
        </is>
      </c>
      <c r="Q33" s="24" t="n">
        <v>1</v>
      </c>
    </row>
    <row r="53">
      <c r="A53" s="25" t="inlineStr">
        <is>
          <t>RAW COMPONENT DATA (DETAILED INDEX)</t>
        </is>
      </c>
    </row>
    <row r="54">
      <c r="BA54" s="26" t="inlineStr">
        <is>
          <t>INDEX</t>
        </is>
      </c>
      <c r="BB54" s="26" t="inlineStr">
        <is>
          <t>LOTID</t>
        </is>
      </c>
      <c r="BC54" s="26" t="inlineStr">
        <is>
          <t>BU VALUE</t>
        </is>
      </c>
      <c r="BD54" s="26" t="inlineStr">
        <is>
          <t>WU VALUE</t>
        </is>
      </c>
      <c r="BE54" s="26" t="inlineStr">
        <is>
          <t>RESULT</t>
        </is>
      </c>
    </row>
    <row r="55">
      <c r="BA55" t="n">
        <v>0</v>
      </c>
      <c r="BB55" t="inlineStr">
        <is>
          <t>LOT1</t>
        </is>
      </c>
      <c r="BC55" t="n">
        <v>51.2</v>
      </c>
      <c r="BD55" t="n">
        <v>81.09999999999999</v>
      </c>
      <c r="BE55" t="inlineStr">
        <is>
          <t>OK</t>
        </is>
      </c>
    </row>
    <row r="56">
      <c r="BA56" t="n">
        <v>1</v>
      </c>
      <c r="BB56" t="inlineStr">
        <is>
          <t>LOT2</t>
        </is>
      </c>
      <c r="BC56" t="n">
        <v>49.1</v>
      </c>
      <c r="BD56" t="n">
        <v>79.5</v>
      </c>
      <c r="BE56" t="inlineStr">
        <is>
          <t>NG</t>
        </is>
      </c>
    </row>
  </sheetData>
  <mergeCells count="18">
    <mergeCell ref="A10:C10"/>
    <mergeCell ref="E8:L9"/>
    <mergeCell ref="M14:R14"/>
    <mergeCell ref="M29:R29"/>
    <mergeCell ref="A53:L53"/>
    <mergeCell ref="M8:R8"/>
    <mergeCell ref="A8:C8"/>
    <mergeCell ref="H4:J6"/>
    <mergeCell ref="A1:F2"/>
    <mergeCell ref="K4:M6"/>
    <mergeCell ref="N4:P6"/>
    <mergeCell ref="A4:C6"/>
    <mergeCell ref="A14:C14"/>
    <mergeCell ref="M22:R22"/>
    <mergeCell ref="A12:C12"/>
    <mergeCell ref="G1:J2"/>
    <mergeCell ref="E4:G6"/>
    <mergeCell ref="K1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2026-03-23T09:29:09Z</dcterms:created>
  <dcterms:modified xmlns:dcterms="http://purl.org/dc/terms/" xmlns:xsi="http://www.w3.org/2001/XMLSchema-instance" xsi:type="dcterms:W3CDTF">2026-03-23T09:29:09Z</dcterms:modified>
</cp:coreProperties>
</file>